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575"/>
  </bookViews>
  <sheets>
    <sheet name="药店（居民、职工纸质表）" sheetId="4" r:id="rId1"/>
    <sheet name="药店、诊所、社区服务站异地纸质上报表" sheetId="7" r:id="rId2"/>
  </sheets>
  <definedNames>
    <definedName name="_xlnm._FilterDatabase" localSheetId="0" hidden="1">'药店（居民、职工纸质表）'!#REF!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<sst xmlns="http://schemas.openxmlformats.org/spreadsheetml/2006/main" count="78" uniqueCount="44">
  <si>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泾川县定点零售药店基本医疗保险门诊结算申报表</t>
  </si>
  <si>
    <t>报送单位： 平凉市泾都药业有限责任公司五分部                                                                                                                                   结算时段：2026年 4月 1日- 4月 30 日</t>
  </si>
  <si>
    <t>序号</t>
  </si>
  <si>
    <t>医疗机构编号</t>
  </si>
  <si>
    <t>医疗机构名称</t>
  </si>
  <si>
    <t>人员类别</t>
  </si>
  <si>
    <t>定点药店购药</t>
  </si>
  <si>
    <t>普通门诊</t>
  </si>
  <si>
    <t>门诊慢特病</t>
  </si>
  <si>
    <t>实际拨付</t>
  </si>
  <si>
    <t>备注</t>
  </si>
  <si>
    <t>人次</t>
  </si>
  <si>
    <t>总费用</t>
  </si>
  <si>
    <t>申报费用</t>
  </si>
  <si>
    <t>个人账户</t>
  </si>
  <si>
    <t>家庭共济账户</t>
  </si>
  <si>
    <t>医保钱包</t>
  </si>
  <si>
    <t>违规扣减</t>
  </si>
  <si>
    <t>保证金扣除</t>
  </si>
  <si>
    <t>小计</t>
  </si>
  <si>
    <t>基本医保</t>
  </si>
  <si>
    <t>城乡居民大病医疗保险基金</t>
  </si>
  <si>
    <t>医疗救助</t>
  </si>
  <si>
    <t>P62082100132</t>
  </si>
  <si>
    <t xml:space="preserve">平凉市泾都药业有限责任公司五分部 </t>
  </si>
  <si>
    <t>居民</t>
  </si>
  <si>
    <t>00</t>
  </si>
  <si>
    <t>职工</t>
  </si>
  <si>
    <t>合计</t>
  </si>
  <si>
    <t>负责人：                                                                                                                                                                                                  经办人：</t>
  </si>
  <si>
    <t>备注：1.填报项目无数据的请填“0”；每月申报的表必须签字、盖章。  2.所有对账项目尽量在每月3号之前完成，纸质的表5号之前送达。3.未及时对账导致漏报的，附情况说明负责人签字，年底清算时推送数据、拨款。4.所有表格必须电子版和纸质同时上报至医保局徐文文、郭堃（涉及门诊慢特病直报的药店一式两份上报）处；联系电话15293311364,15293682024，微信同号。</t>
  </si>
  <si>
    <t>泾川县定点医药机构异地就医费用申报汇总表</t>
  </si>
  <si>
    <r>
      <rPr>
        <b/>
        <sz val="11"/>
        <color rgb="FF000000"/>
        <rFont val="宋体"/>
        <charset val="134"/>
      </rPr>
      <t>报送单位：   平凉市泾都药业有限责任公司五分部                                       结算时段：2026年 4月  1日</t>
    </r>
    <r>
      <rPr>
        <b/>
        <sz val="11"/>
        <color rgb="FF000000"/>
        <rFont val="SimSun"/>
        <charset val="134"/>
      </rPr>
      <t>－</t>
    </r>
    <r>
      <rPr>
        <b/>
        <sz val="11"/>
        <color rgb="FF000000"/>
        <rFont val="宋体"/>
        <charset val="134"/>
      </rPr>
      <t>4月 30日</t>
    </r>
  </si>
  <si>
    <t>医药机构编号</t>
  </si>
  <si>
    <t>医药机构名称</t>
  </si>
  <si>
    <t>省内异地</t>
  </si>
  <si>
    <t>跨省异地</t>
  </si>
  <si>
    <t>人次数</t>
  </si>
  <si>
    <t>统筹基金</t>
  </si>
  <si>
    <t>家庭共济</t>
  </si>
  <si>
    <t>个人现金支付</t>
  </si>
  <si>
    <t xml:space="preserve"> 平凉市泾都药业有限责任公司五分部 </t>
  </si>
  <si>
    <t xml:space="preserve">  负责人：                                                                                                 填报人：</t>
  </si>
  <si>
    <t>备注：1.填报项目无数据的请填“0”；每月申报的表必须签字、盖章。  2.所有对账项目尽量在每月3号之前完成，纸质的表5号之前送达。3.未及时对账导致漏报的，附情况说明负责人签字，年底清算时推送数据、拨款。4.所有表格必须电子版和纸质同时上报至乔筱妍处；联系电话18793350821微信同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</si>
</sst>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</numFmts>
  <fonts count="40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20"/>
      <color rgb="FF000000"/>
      <name val="方正小标宋简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9"/>
      <color theme="1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sz val="9"/>
      <color theme="1"/>
      <name val="宋体"/>
      <charset val="134"/>
    </font>
    <font>
      <sz val="9"/>
      <color indexed="8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11"/>
      <color rgb="FF00000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0" applyNumberFormat="0" applyAlignment="0" applyProtection="0">
      <alignment vertical="center"/>
    </xf>
    <xf numFmtId="0" fontId="28" fillId="4" borderId="11" applyNumberFormat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8" fillId="0" borderId="0">
      <alignment vertical="center"/>
    </xf>
  </cellStyleXfs>
  <cellXfs count="59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left" vertical="center" wrapText="1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5" fillId="0" borderId="1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4_3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6"/>
  <sheetViews>
    <sheetView tabSelected="1" topLeftCell="R1" workbookViewId="0">
      <pane ySplit="1" topLeftCell="A2" activePane="bottomLeft" state="frozen"/>
      <selection/>
      <selection pane="bottomLeft" activeCell="Z6" sqref="Z6"/>
    </sheetView>
  </sheetViews>
  <sheetFormatPr defaultColWidth="10" defaultRowHeight="13.5"/>
  <cols>
    <col min="1" max="1" width="5.225" style="26" customWidth="1"/>
    <col min="2" max="2" width="7.225" style="26" customWidth="1"/>
    <col min="3" max="3" width="9.66666666666667" style="27" customWidth="1"/>
    <col min="4" max="4" width="5.33333333333333" style="27" customWidth="1"/>
    <col min="5" max="5" width="5.225" style="27" customWidth="1"/>
    <col min="6" max="8" width="9.10833333333333" style="27" customWidth="1"/>
    <col min="9" max="10" width="8.225" style="27" customWidth="1"/>
    <col min="11" max="11" width="6.89166666666667" style="27" customWidth="1"/>
    <col min="12" max="12" width="7.775" style="27" customWidth="1"/>
    <col min="13" max="13" width="9.10833333333333" style="27" customWidth="1"/>
    <col min="14" max="14" width="5.44166666666667" style="26" customWidth="1"/>
    <col min="15" max="15" width="9.10833333333333" style="26" customWidth="1"/>
    <col min="16" max="17" width="9.775" style="26" customWidth="1"/>
    <col min="18" max="20" width="8.225" style="26" customWidth="1"/>
    <col min="21" max="21" width="7" style="26" customWidth="1"/>
    <col min="22" max="22" width="8.225" style="26" customWidth="1"/>
    <col min="23" max="23" width="6.66666666666667" style="26" customWidth="1"/>
    <col min="24" max="27" width="8.55833333333333" style="26" customWidth="1"/>
    <col min="28" max="28" width="9.55833333333333" style="26" customWidth="1"/>
    <col min="29" max="31" width="8.10833333333333" style="26" customWidth="1"/>
    <col min="32" max="32" width="7.10833333333333" style="26" customWidth="1"/>
    <col min="33" max="33" width="9.775" style="26" customWidth="1"/>
    <col min="34" max="34" width="10.1083333333333" style="28" customWidth="1"/>
    <col min="35" max="35" width="6.10833333333333" style="28" customWidth="1"/>
    <col min="36" max="16384" width="10" style="26"/>
  </cols>
  <sheetData>
    <row r="1" s="26" customFormat="1" ht="43" customHeight="1" spans="1: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="26" customFormat="1" ht="26" customHeight="1" spans="1:3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="26" customFormat="1" ht="62" customHeight="1" spans="1:35">
      <c r="A3" s="32" t="s">
        <v>2</v>
      </c>
      <c r="B3" s="32" t="s">
        <v>3</v>
      </c>
      <c r="C3" s="32" t="s">
        <v>4</v>
      </c>
      <c r="D3" s="32" t="s">
        <v>5</v>
      </c>
      <c r="E3" s="33" t="s">
        <v>6</v>
      </c>
      <c r="F3" s="33"/>
      <c r="G3" s="33"/>
      <c r="H3" s="33"/>
      <c r="I3" s="33"/>
      <c r="J3" s="33"/>
      <c r="K3" s="33"/>
      <c r="L3" s="34"/>
      <c r="M3" s="33"/>
      <c r="N3" s="35" t="s">
        <v>7</v>
      </c>
      <c r="O3" s="35"/>
      <c r="P3" s="35"/>
      <c r="Q3" s="35"/>
      <c r="R3" s="35"/>
      <c r="S3" s="35"/>
      <c r="T3" s="35"/>
      <c r="U3" s="35"/>
      <c r="V3" s="35"/>
      <c r="W3" s="35" t="s">
        <v>8</v>
      </c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3" t="s">
        <v>9</v>
      </c>
      <c r="AI3" s="36" t="s">
        <v>10</v>
      </c>
    </row>
    <row r="4" s="26" customFormat="1" ht="62" customHeight="1" spans="1:35">
      <c r="A4" s="32"/>
      <c r="B4" s="32"/>
      <c r="C4" s="32"/>
      <c r="D4" s="32"/>
      <c r="E4" s="33" t="s">
        <v>11</v>
      </c>
      <c r="F4" s="33" t="s">
        <v>12</v>
      </c>
      <c r="G4" s="33" t="s">
        <v>13</v>
      </c>
      <c r="H4" s="37" t="s">
        <v>14</v>
      </c>
      <c r="I4" s="38" t="s">
        <v>15</v>
      </c>
      <c r="J4" s="38" t="s">
        <v>16</v>
      </c>
      <c r="K4" s="38" t="s">
        <v>17</v>
      </c>
      <c r="L4" s="38" t="s">
        <v>18</v>
      </c>
      <c r="M4" s="38" t="s">
        <v>19</v>
      </c>
      <c r="N4" s="36" t="s">
        <v>11</v>
      </c>
      <c r="O4" s="36" t="s">
        <v>12</v>
      </c>
      <c r="P4" s="36" t="s">
        <v>20</v>
      </c>
      <c r="Q4" s="38" t="s">
        <v>14</v>
      </c>
      <c r="R4" s="33" t="s">
        <v>15</v>
      </c>
      <c r="S4" s="38" t="s">
        <v>16</v>
      </c>
      <c r="T4" s="39" t="s">
        <v>17</v>
      </c>
      <c r="U4" s="38" t="s">
        <v>18</v>
      </c>
      <c r="V4" s="40" t="s">
        <v>19</v>
      </c>
      <c r="W4" s="36" t="s">
        <v>11</v>
      </c>
      <c r="X4" s="36" t="s">
        <v>12</v>
      </c>
      <c r="Y4" s="36" t="s">
        <v>20</v>
      </c>
      <c r="Z4" s="38" t="s">
        <v>14</v>
      </c>
      <c r="AA4" s="33" t="s">
        <v>15</v>
      </c>
      <c r="AB4" s="33" t="s">
        <v>21</v>
      </c>
      <c r="AC4" s="33" t="s">
        <v>22</v>
      </c>
      <c r="AD4" s="38" t="s">
        <v>16</v>
      </c>
      <c r="AE4" s="39" t="s">
        <v>17</v>
      </c>
      <c r="AF4" s="38" t="s">
        <v>18</v>
      </c>
      <c r="AG4" s="36" t="s">
        <v>19</v>
      </c>
      <c r="AH4" s="33"/>
      <c r="AI4" s="36"/>
    </row>
    <row r="5" s="26" customFormat="1" ht="62" customHeight="1" spans="1:35">
      <c r="A5" s="41">
        <v>1</v>
      </c>
      <c r="B5" s="42" t="s">
        <v>23</v>
      </c>
      <c r="C5" s="42" t="s">
        <v>24</v>
      </c>
      <c r="D5" s="43" t="s">
        <v>25</v>
      </c>
      <c r="E5" s="44">
        <v>23</v>
      </c>
      <c r="F5" s="44">
        <v>929.7</v>
      </c>
      <c r="G5" s="44">
        <v>929.7</v>
      </c>
      <c r="H5" s="44">
        <v>0</v>
      </c>
      <c r="I5" s="44">
        <v>816.2</v>
      </c>
      <c r="J5" s="44">
        <v>113.5</v>
      </c>
      <c r="K5" s="44">
        <v>0</v>
      </c>
      <c r="L5" s="44">
        <f>ROUND(H5*0.05,2)</f>
        <v>0</v>
      </c>
      <c r="M5" s="44">
        <f>H5+I5+J5-K5-L5</f>
        <v>929.7</v>
      </c>
      <c r="N5" s="45">
        <v>0</v>
      </c>
      <c r="O5" s="45">
        <v>0</v>
      </c>
      <c r="P5" s="59" t="s">
        <v>26</v>
      </c>
      <c r="Q5" s="45">
        <v>0</v>
      </c>
      <c r="R5" s="45">
        <v>0</v>
      </c>
      <c r="S5" s="45">
        <v>0</v>
      </c>
      <c r="T5" s="45">
        <v>0</v>
      </c>
      <c r="U5" s="45">
        <f>ROUND(P5*0.05,2)</f>
        <v>0</v>
      </c>
      <c r="V5" s="44">
        <f>P5+Q5+R5+S5-T5-U5</f>
        <v>0</v>
      </c>
      <c r="W5" s="45">
        <v>299</v>
      </c>
      <c r="X5" s="45">
        <v>72683.6</v>
      </c>
      <c r="Y5" s="45">
        <v>44950.54</v>
      </c>
      <c r="Z5" s="45">
        <v>0</v>
      </c>
      <c r="AA5" s="45">
        <v>1156</v>
      </c>
      <c r="AB5" s="45">
        <v>432.09</v>
      </c>
      <c r="AC5" s="45">
        <v>2352.18</v>
      </c>
      <c r="AD5" s="45">
        <v>0</v>
      </c>
      <c r="AE5" s="45">
        <v>0</v>
      </c>
      <c r="AF5" s="45">
        <f>ROUND(Y5*0.05,2)</f>
        <v>2247.53</v>
      </c>
      <c r="AG5" s="44">
        <f>Y5+Z5+AA5+AC5+AD5+-AE5-AF5</f>
        <v>46211.19</v>
      </c>
      <c r="AH5" s="46">
        <f>M5+V5+AG5</f>
        <v>47140.89</v>
      </c>
      <c r="AI5" s="47"/>
    </row>
    <row r="6" s="26" customFormat="1" ht="62" customHeight="1" spans="1:35">
      <c r="A6" s="41"/>
      <c r="B6" s="48"/>
      <c r="C6" s="48"/>
      <c r="D6" s="43" t="s">
        <v>27</v>
      </c>
      <c r="E6" s="44">
        <v>555</v>
      </c>
      <c r="F6" s="44">
        <v>26403.1</v>
      </c>
      <c r="G6" s="44">
        <v>26274.86</v>
      </c>
      <c r="H6" s="44">
        <v>26249.66</v>
      </c>
      <c r="I6" s="44">
        <v>25.2</v>
      </c>
      <c r="J6" s="44">
        <v>0</v>
      </c>
      <c r="K6" s="44">
        <v>0</v>
      </c>
      <c r="L6" s="44">
        <f>ROUND(H6*0.05,2)</f>
        <v>1312.48</v>
      </c>
      <c r="M6" s="44">
        <f>H6+I6+J6-K6-L6</f>
        <v>24962.38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f>ROUND(P6*0.05,2)</f>
        <v>0</v>
      </c>
      <c r="V6" s="44">
        <f>P6+Q6+R6+S6-T6-U6</f>
        <v>0</v>
      </c>
      <c r="W6" s="45">
        <v>142</v>
      </c>
      <c r="X6" s="45">
        <v>32602.7</v>
      </c>
      <c r="Y6" s="45">
        <v>26530.84</v>
      </c>
      <c r="Z6" s="45">
        <v>5409.21</v>
      </c>
      <c r="AA6" s="45">
        <v>73.69</v>
      </c>
      <c r="AB6" s="45">
        <v>0</v>
      </c>
      <c r="AC6" s="45">
        <v>0</v>
      </c>
      <c r="AD6" s="45">
        <v>0</v>
      </c>
      <c r="AE6" s="45">
        <v>0</v>
      </c>
      <c r="AF6" s="45">
        <f>ROUND(Y6*0.05,2)</f>
        <v>1326.54</v>
      </c>
      <c r="AG6" s="44">
        <f>Y6+Z6+AA6+AC6+AD6+-AE6-AF6</f>
        <v>30687.2</v>
      </c>
      <c r="AH6" s="46">
        <f>M6+V6+AG6</f>
        <v>55649.58</v>
      </c>
      <c r="AI6" s="47"/>
    </row>
    <row r="7" s="26" customFormat="1" ht="62" customHeight="1" spans="1:35">
      <c r="A7" s="49" t="s">
        <v>28</v>
      </c>
      <c r="B7" s="50"/>
      <c r="C7" s="50"/>
      <c r="D7" s="51"/>
      <c r="E7" s="52">
        <f>SUM(E5:E6)</f>
        <v>578</v>
      </c>
      <c r="F7" s="53">
        <f t="shared" ref="F7:AH7" si="0">SUM(F5:F6)</f>
        <v>27332.8</v>
      </c>
      <c r="G7" s="53">
        <f t="shared" si="0"/>
        <v>27204.56</v>
      </c>
      <c r="H7" s="53">
        <f t="shared" si="0"/>
        <v>26249.66</v>
      </c>
      <c r="I7" s="53">
        <f t="shared" si="0"/>
        <v>841.4</v>
      </c>
      <c r="J7" s="53">
        <f t="shared" si="0"/>
        <v>113.5</v>
      </c>
      <c r="K7" s="53">
        <f t="shared" si="0"/>
        <v>0</v>
      </c>
      <c r="L7" s="53">
        <f t="shared" si="0"/>
        <v>1312.48</v>
      </c>
      <c r="M7" s="53">
        <f t="shared" si="0"/>
        <v>25892.08</v>
      </c>
      <c r="N7" s="52">
        <f t="shared" si="0"/>
        <v>0</v>
      </c>
      <c r="O7" s="53">
        <f t="shared" si="0"/>
        <v>0</v>
      </c>
      <c r="P7" s="53">
        <f t="shared" si="0"/>
        <v>0</v>
      </c>
      <c r="Q7" s="53">
        <f t="shared" si="0"/>
        <v>0</v>
      </c>
      <c r="R7" s="53">
        <f t="shared" si="0"/>
        <v>0</v>
      </c>
      <c r="S7" s="53">
        <f t="shared" si="0"/>
        <v>0</v>
      </c>
      <c r="T7" s="53">
        <f t="shared" si="0"/>
        <v>0</v>
      </c>
      <c r="U7" s="53">
        <f t="shared" si="0"/>
        <v>0</v>
      </c>
      <c r="V7" s="53">
        <f t="shared" si="0"/>
        <v>0</v>
      </c>
      <c r="W7" s="52">
        <f t="shared" si="0"/>
        <v>441</v>
      </c>
      <c r="X7" s="53">
        <f t="shared" si="0"/>
        <v>105286.3</v>
      </c>
      <c r="Y7" s="53">
        <f t="shared" si="0"/>
        <v>71481.38</v>
      </c>
      <c r="Z7" s="53">
        <f t="shared" si="0"/>
        <v>5409.21</v>
      </c>
      <c r="AA7" s="53">
        <f t="shared" si="0"/>
        <v>1229.69</v>
      </c>
      <c r="AB7" s="53">
        <f t="shared" si="0"/>
        <v>432.09</v>
      </c>
      <c r="AC7" s="53">
        <f t="shared" si="0"/>
        <v>2352.18</v>
      </c>
      <c r="AD7" s="53">
        <f t="shared" si="0"/>
        <v>0</v>
      </c>
      <c r="AE7" s="53">
        <f t="shared" si="0"/>
        <v>0</v>
      </c>
      <c r="AF7" s="53">
        <f t="shared" si="0"/>
        <v>3574.07</v>
      </c>
      <c r="AG7" s="53">
        <f t="shared" si="0"/>
        <v>76898.39</v>
      </c>
      <c r="AH7" s="53">
        <f t="shared" si="0"/>
        <v>102790.47</v>
      </c>
      <c r="AI7" s="47"/>
    </row>
    <row r="8" s="26" customFormat="1" ht="64" customHeight="1" spans="1:35">
      <c r="A8" s="54" t="s">
        <v>29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</row>
    <row r="9" s="26" customFormat="1" ht="64" customHeight="1" spans="1:35">
      <c r="A9" s="56" t="s">
        <v>30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="26" customFormat="1" spans="1:35">
      <c r="A10" s="57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28"/>
      <c r="AI10" s="28"/>
    </row>
    <row r="11" s="26" customFormat="1" spans="1:35">
      <c r="A11" s="57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28"/>
      <c r="AI11" s="28"/>
    </row>
    <row r="12" s="26" customFormat="1" spans="1:35">
      <c r="A12" s="57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28"/>
      <c r="AI12" s="28"/>
    </row>
    <row r="13" s="26" customFormat="1" spans="1:35">
      <c r="A13" s="57"/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28"/>
      <c r="AI13" s="28"/>
    </row>
    <row r="14" s="26" customFormat="1" spans="1:35">
      <c r="A14" s="57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28"/>
      <c r="AI14" s="28"/>
    </row>
    <row r="15" s="26" customFormat="1" spans="1:35">
      <c r="A15" s="57"/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28"/>
      <c r="AI15" s="28"/>
    </row>
    <row r="16" s="26" customFormat="1" spans="1:35">
      <c r="A16" s="57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28"/>
      <c r="AI16" s="28"/>
    </row>
    <row r="17" s="26" customFormat="1" spans="1:35">
      <c r="A17" s="57"/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28"/>
      <c r="AI17" s="28"/>
    </row>
    <row r="18" s="26" customFormat="1" spans="1:35">
      <c r="A18" s="57"/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28"/>
      <c r="AI18" s="28"/>
    </row>
    <row r="19" s="26" customFormat="1" spans="1:35">
      <c r="A19" s="57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28"/>
      <c r="AI19" s="28"/>
    </row>
    <row r="20" s="26" customFormat="1" spans="1:35">
      <c r="A20" s="57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28"/>
      <c r="AI20" s="28"/>
    </row>
    <row r="21" s="26" customFormat="1" spans="1:35">
      <c r="A21" s="57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28"/>
      <c r="AI21" s="28"/>
    </row>
    <row r="22" s="26" customFormat="1" spans="1:35">
      <c r="A22" s="57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28"/>
      <c r="AI22" s="28"/>
    </row>
    <row r="23" s="26" customFormat="1" spans="1:35">
      <c r="A23" s="57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28"/>
      <c r="AI23" s="28"/>
    </row>
    <row r="24" s="26" customFormat="1" spans="1:35">
      <c r="A24" s="57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28"/>
      <c r="AI24" s="28"/>
    </row>
    <row r="25" s="26" customFormat="1" spans="1:35">
      <c r="A25" s="57"/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28"/>
      <c r="AI25" s="28"/>
    </row>
    <row r="26" s="26" customFormat="1" spans="1:35">
      <c r="A26" s="57"/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28"/>
      <c r="AI26" s="28"/>
    </row>
    <row r="27" s="26" customFormat="1" spans="1:35">
      <c r="A27" s="57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28"/>
      <c r="AI27" s="28"/>
    </row>
    <row r="28" s="26" customFormat="1" spans="1:35">
      <c r="A28" s="57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28"/>
      <c r="AI28" s="28"/>
    </row>
    <row r="29" s="26" customFormat="1" spans="1:35">
      <c r="A29" s="57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28"/>
      <c r="AI29" s="28"/>
    </row>
    <row r="30" s="26" customFormat="1" spans="1:35">
      <c r="A30" s="57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28"/>
      <c r="AI30" s="28"/>
    </row>
    <row r="31" s="26" customFormat="1" spans="1:35">
      <c r="A31" s="57"/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28"/>
      <c r="AI31" s="28"/>
    </row>
    <row r="32" s="26" customFormat="1" spans="1:35">
      <c r="A32" s="57"/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28"/>
      <c r="AI32" s="28"/>
    </row>
    <row r="33" s="26" customFormat="1" spans="1:35">
      <c r="A33" s="57"/>
      <c r="B33" s="57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28"/>
      <c r="AI33" s="28"/>
    </row>
    <row r="34" s="26" customFormat="1" spans="1:35">
      <c r="A34" s="57"/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28"/>
      <c r="AI34" s="28"/>
    </row>
    <row r="35" s="26" customFormat="1" spans="1:35">
      <c r="A35" s="57"/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28"/>
      <c r="AI35" s="28"/>
    </row>
    <row r="36" s="26" customFormat="1" spans="1:35">
      <c r="A36" s="57"/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28"/>
      <c r="AI36" s="28"/>
    </row>
    <row r="37" s="26" customFormat="1" spans="1:35">
      <c r="A37" s="57"/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28"/>
      <c r="AI37" s="28"/>
    </row>
    <row r="38" s="26" customFormat="1" spans="1:35">
      <c r="A38" s="57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28"/>
      <c r="AI38" s="28"/>
    </row>
    <row r="39" s="26" customFormat="1" spans="1:35">
      <c r="A39" s="57"/>
      <c r="B39" s="57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28"/>
      <c r="AI39" s="28"/>
    </row>
    <row r="40" s="26" customFormat="1" spans="1:35">
      <c r="A40" s="57"/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28"/>
      <c r="AI40" s="28"/>
    </row>
    <row r="41" s="26" customFormat="1" spans="1:35">
      <c r="A41" s="57"/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28"/>
      <c r="AI41" s="28"/>
    </row>
    <row r="42" s="26" customFormat="1" spans="1:35">
      <c r="A42" s="57"/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28"/>
      <c r="AI42" s="28"/>
    </row>
    <row r="43" s="26" customFormat="1" spans="1:35">
      <c r="A43" s="57"/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28"/>
      <c r="AI43" s="28"/>
    </row>
    <row r="44" s="26" customFormat="1" spans="1:35">
      <c r="A44" s="57"/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28"/>
      <c r="AI44" s="28"/>
    </row>
    <row r="45" s="26" customFormat="1" spans="1:35">
      <c r="A45" s="57"/>
      <c r="B45" s="57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28"/>
      <c r="AI45" s="28"/>
    </row>
    <row r="46" s="26" customFormat="1" spans="1:35">
      <c r="A46" s="57"/>
      <c r="B46" s="5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28"/>
      <c r="AI46" s="28"/>
    </row>
    <row r="47" s="26" customFormat="1" spans="1:35">
      <c r="A47" s="57"/>
      <c r="B47" s="57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28"/>
      <c r="AI47" s="28"/>
    </row>
    <row r="48" s="26" customFormat="1" spans="1:35">
      <c r="A48" s="57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28"/>
      <c r="AI48" s="28"/>
    </row>
    <row r="49" s="26" customFormat="1" spans="1:35">
      <c r="A49" s="57"/>
      <c r="B49" s="57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28"/>
      <c r="AI49" s="28"/>
    </row>
    <row r="50" s="26" customFormat="1" spans="1:35">
      <c r="A50" s="57"/>
      <c r="B50" s="57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28"/>
      <c r="AI50" s="28"/>
    </row>
    <row r="51" s="26" customFormat="1" spans="1:35">
      <c r="A51" s="57"/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28"/>
      <c r="AI51" s="28"/>
    </row>
    <row r="52" s="26" customFormat="1" spans="1:35">
      <c r="A52" s="57"/>
      <c r="B52" s="57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28"/>
      <c r="AI52" s="28"/>
    </row>
    <row r="53" s="26" customFormat="1" spans="1:35">
      <c r="A53" s="57"/>
      <c r="B53" s="57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28"/>
      <c r="AI53" s="28"/>
    </row>
    <row r="54" s="26" customFormat="1" spans="1:35">
      <c r="A54" s="57"/>
      <c r="B54" s="5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28"/>
      <c r="AI54" s="28"/>
    </row>
    <row r="55" s="26" customFormat="1" spans="1:35">
      <c r="A55" s="57"/>
      <c r="B55" s="57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28"/>
      <c r="AI55" s="28"/>
    </row>
    <row r="56" s="26" customFormat="1" spans="1:35">
      <c r="A56" s="57"/>
      <c r="B56" s="57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28"/>
      <c r="AI56" s="28"/>
    </row>
  </sheetData>
  <sheetProtection formatCells="0" insertHyperlinks="0" autoFilter="0"/>
  <mergeCells count="17">
    <mergeCell ref="A1:AI1"/>
    <mergeCell ref="A2:AI2"/>
    <mergeCell ref="E3:M3"/>
    <mergeCell ref="N3:V3"/>
    <mergeCell ref="W3:AG3"/>
    <mergeCell ref="A7:D7"/>
    <mergeCell ref="A8:AI8"/>
    <mergeCell ref="A9:AI9"/>
    <mergeCell ref="A3:A4"/>
    <mergeCell ref="A5:A6"/>
    <mergeCell ref="B3:B4"/>
    <mergeCell ref="B5:B6"/>
    <mergeCell ref="C3:C4"/>
    <mergeCell ref="C5:C6"/>
    <mergeCell ref="D3:D4"/>
    <mergeCell ref="AH3:AH4"/>
    <mergeCell ref="AI3:AI4"/>
  </mergeCells>
  <printOptions horizontalCentered="1"/>
  <pageMargins left="0.357638888888889" right="0.161111111111111" top="1" bottom="1" header="0.5" footer="0.5"/>
  <pageSetup paperSize="9" scale="51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4"/>
  <sheetViews>
    <sheetView topLeftCell="E1" workbookViewId="0">
      <selection activeCell="P13" sqref="P13"/>
    </sheetView>
  </sheetViews>
  <sheetFormatPr defaultColWidth="9" defaultRowHeight="13.5"/>
  <cols>
    <col min="1" max="1" width="6.75" style="1" customWidth="1"/>
    <col min="2" max="3" width="13.25" style="1" customWidth="1"/>
    <col min="4" max="4" width="8.5" style="1" customWidth="1"/>
    <col min="5" max="5" width="9" style="1"/>
    <col min="6" max="7" width="10.75" style="1" customWidth="1"/>
    <col min="8" max="10" width="9" style="2"/>
    <col min="11" max="11" width="10" style="2" customWidth="1"/>
    <col min="12" max="12" width="9" style="1"/>
    <col min="13" max="13" width="11.4416666666667" style="1" customWidth="1"/>
    <col min="14" max="14" width="11.75" style="1" customWidth="1"/>
    <col min="15" max="17" width="10.1333333333333" style="1" customWidth="1"/>
    <col min="18" max="18" width="10" style="2" customWidth="1"/>
    <col min="19" max="16384" width="9" style="1"/>
  </cols>
  <sheetData>
    <row r="1" s="1" customFormat="1" ht="72" customHeight="1" spans="1:19">
      <c r="A1" s="3" t="s">
        <v>31</v>
      </c>
      <c r="B1" s="3"/>
      <c r="C1" s="3"/>
      <c r="D1" s="3"/>
      <c r="E1" s="3"/>
      <c r="F1" s="3"/>
      <c r="G1" s="3"/>
      <c r="H1" s="4"/>
      <c r="I1" s="4"/>
      <c r="J1" s="4"/>
      <c r="K1" s="4"/>
      <c r="L1" s="3"/>
      <c r="M1" s="3"/>
      <c r="N1" s="3"/>
      <c r="O1" s="3"/>
      <c r="P1" s="3"/>
      <c r="Q1" s="3"/>
      <c r="R1" s="4"/>
      <c r="S1" s="3"/>
    </row>
    <row r="2" s="1" customFormat="1" ht="40" customHeight="1" spans="1:19">
      <c r="A2" s="5" t="s">
        <v>32</v>
      </c>
      <c r="B2" s="6"/>
      <c r="C2" s="6"/>
      <c r="D2" s="6"/>
      <c r="E2" s="6"/>
      <c r="F2" s="6"/>
      <c r="G2" s="6"/>
      <c r="H2" s="7"/>
      <c r="I2" s="7"/>
      <c r="J2" s="7"/>
      <c r="K2" s="7"/>
      <c r="L2" s="6"/>
      <c r="M2" s="6"/>
      <c r="N2" s="6"/>
      <c r="O2" s="6"/>
      <c r="P2" s="6"/>
      <c r="Q2" s="6"/>
      <c r="R2" s="7"/>
      <c r="S2" s="6"/>
    </row>
    <row r="3" s="1" customFormat="1" ht="39" customHeight="1" spans="1:19">
      <c r="A3" s="8" t="s">
        <v>2</v>
      </c>
      <c r="B3" s="8" t="s">
        <v>33</v>
      </c>
      <c r="C3" s="8" t="s">
        <v>34</v>
      </c>
      <c r="D3" s="8" t="s">
        <v>5</v>
      </c>
      <c r="E3" s="8" t="s">
        <v>35</v>
      </c>
      <c r="F3" s="8"/>
      <c r="G3" s="8"/>
      <c r="H3" s="9"/>
      <c r="I3" s="9"/>
      <c r="J3" s="9"/>
      <c r="K3" s="9"/>
      <c r="L3" s="8" t="s">
        <v>36</v>
      </c>
      <c r="M3" s="8"/>
      <c r="N3" s="8"/>
      <c r="O3" s="8"/>
      <c r="P3" s="8"/>
      <c r="Q3" s="8"/>
      <c r="R3" s="9"/>
      <c r="S3" s="8" t="s">
        <v>10</v>
      </c>
    </row>
    <row r="4" s="1" customFormat="1" ht="39" customHeight="1" spans="1:19">
      <c r="A4" s="8"/>
      <c r="B4" s="8"/>
      <c r="C4" s="8"/>
      <c r="D4" s="8"/>
      <c r="E4" s="8" t="s">
        <v>37</v>
      </c>
      <c r="F4" s="8" t="s">
        <v>12</v>
      </c>
      <c r="G4" s="8" t="s">
        <v>38</v>
      </c>
      <c r="H4" s="9" t="s">
        <v>14</v>
      </c>
      <c r="I4" s="9" t="s">
        <v>39</v>
      </c>
      <c r="J4" s="9" t="s">
        <v>16</v>
      </c>
      <c r="K4" s="9" t="s">
        <v>40</v>
      </c>
      <c r="L4" s="8" t="s">
        <v>37</v>
      </c>
      <c r="M4" s="8" t="s">
        <v>12</v>
      </c>
      <c r="N4" s="8" t="s">
        <v>38</v>
      </c>
      <c r="O4" s="9" t="s">
        <v>14</v>
      </c>
      <c r="P4" s="9" t="s">
        <v>39</v>
      </c>
      <c r="Q4" s="9" t="s">
        <v>16</v>
      </c>
      <c r="R4" s="9" t="s">
        <v>40</v>
      </c>
      <c r="S4" s="8"/>
    </row>
    <row r="5" s="1" customFormat="1" ht="37" customHeight="1" spans="1:19">
      <c r="A5" s="10">
        <v>1</v>
      </c>
      <c r="B5" s="11" t="s">
        <v>23</v>
      </c>
      <c r="C5" s="11" t="s">
        <v>41</v>
      </c>
      <c r="D5" s="12" t="s">
        <v>25</v>
      </c>
      <c r="E5" s="13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3">
        <v>1</v>
      </c>
      <c r="M5" s="14">
        <v>27.3</v>
      </c>
      <c r="N5" s="14">
        <v>0</v>
      </c>
      <c r="O5" s="14">
        <v>0</v>
      </c>
      <c r="P5" s="14">
        <v>27.3</v>
      </c>
      <c r="Q5" s="14">
        <v>0</v>
      </c>
      <c r="R5" s="14">
        <v>0</v>
      </c>
      <c r="S5" s="9"/>
    </row>
    <row r="6" s="1" customFormat="1" ht="37" customHeight="1" spans="1:19">
      <c r="A6" s="15"/>
      <c r="B6" s="16"/>
      <c r="C6" s="16"/>
      <c r="D6" s="12" t="s">
        <v>27</v>
      </c>
      <c r="E6" s="17">
        <v>29</v>
      </c>
      <c r="F6" s="18">
        <v>2166.8</v>
      </c>
      <c r="G6" s="18">
        <v>278.08</v>
      </c>
      <c r="H6" s="18">
        <v>1888.72</v>
      </c>
      <c r="I6" s="18">
        <v>0</v>
      </c>
      <c r="J6" s="18">
        <v>0</v>
      </c>
      <c r="K6" s="18">
        <v>0</v>
      </c>
      <c r="L6" s="17">
        <v>40</v>
      </c>
      <c r="M6" s="18">
        <v>2783.5</v>
      </c>
      <c r="N6" s="18">
        <v>0</v>
      </c>
      <c r="O6" s="18">
        <v>2775</v>
      </c>
      <c r="P6" s="18">
        <v>0</v>
      </c>
      <c r="Q6" s="18">
        <v>0</v>
      </c>
      <c r="R6" s="18">
        <v>8.5</v>
      </c>
      <c r="S6" s="19"/>
    </row>
    <row r="7" s="1" customFormat="1" ht="46" customHeight="1" spans="1:19">
      <c r="A7" s="20" t="s">
        <v>28</v>
      </c>
      <c r="B7" s="21"/>
      <c r="C7" s="21"/>
      <c r="D7" s="22"/>
      <c r="E7" s="17">
        <f>SUM(E5:E6)</f>
        <v>29</v>
      </c>
      <c r="F7" s="18">
        <f t="shared" ref="F7:R7" si="0">SUM(F5:F6)</f>
        <v>2166.8</v>
      </c>
      <c r="G7" s="18">
        <f t="shared" si="0"/>
        <v>278.08</v>
      </c>
      <c r="H7" s="18">
        <f t="shared" si="0"/>
        <v>1888.72</v>
      </c>
      <c r="I7" s="18">
        <f t="shared" si="0"/>
        <v>0</v>
      </c>
      <c r="J7" s="18">
        <f t="shared" si="0"/>
        <v>0</v>
      </c>
      <c r="K7" s="18">
        <f t="shared" si="0"/>
        <v>0</v>
      </c>
      <c r="L7" s="17">
        <f t="shared" si="0"/>
        <v>41</v>
      </c>
      <c r="M7" s="18">
        <f t="shared" si="0"/>
        <v>2810.8</v>
      </c>
      <c r="N7" s="18">
        <f t="shared" si="0"/>
        <v>0</v>
      </c>
      <c r="O7" s="18">
        <f t="shared" si="0"/>
        <v>2775</v>
      </c>
      <c r="P7" s="18">
        <v>27.3</v>
      </c>
      <c r="Q7" s="18">
        <f t="shared" si="0"/>
        <v>0</v>
      </c>
      <c r="R7" s="18">
        <f>R5+R6</f>
        <v>8.5</v>
      </c>
      <c r="S7" s="19"/>
    </row>
    <row r="8" s="1" customFormat="1" ht="36" customHeight="1" spans="1:19">
      <c r="A8" s="23" t="s">
        <v>42</v>
      </c>
      <c r="B8" s="24"/>
      <c r="C8" s="24"/>
      <c r="D8" s="24"/>
      <c r="E8" s="24"/>
      <c r="F8" s="24"/>
      <c r="G8" s="24"/>
      <c r="H8" s="25"/>
      <c r="I8" s="25"/>
      <c r="J8" s="25"/>
      <c r="K8" s="25"/>
      <c r="L8" s="24"/>
      <c r="M8" s="24"/>
      <c r="N8" s="24"/>
      <c r="O8" s="24"/>
      <c r="P8" s="24"/>
      <c r="Q8" s="24"/>
      <c r="R8" s="25"/>
      <c r="S8" s="24"/>
    </row>
    <row r="9" s="1" customFormat="1" ht="25" customHeight="1" spans="1:19">
      <c r="A9" s="2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="1" customFormat="1" ht="25" customHeight="1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="1" customFormat="1" ht="25" customHeight="1" spans="1:19">
      <c r="H11" s="2"/>
      <c r="I11" s="2"/>
      <c r="J11" s="2"/>
      <c r="K11" s="2"/>
      <c r="R11" s="2"/>
    </row>
    <row r="12" s="1" customFormat="1" ht="25" customHeight="1" spans="1:19">
      <c r="H12" s="2"/>
      <c r="I12" s="2"/>
      <c r="J12" s="2"/>
      <c r="K12" s="2"/>
      <c r="R12" s="2"/>
    </row>
    <row r="13" s="1" customFormat="1" ht="25" customHeight="1" spans="1:19">
      <c r="H13" s="2"/>
      <c r="I13" s="2"/>
      <c r="J13" s="2"/>
      <c r="K13" s="2"/>
      <c r="R13" s="2"/>
    </row>
    <row r="14" s="1" customFormat="1" ht="25" customHeight="1" spans="1:19">
      <c r="H14" s="2"/>
      <c r="I14" s="2"/>
      <c r="J14" s="2"/>
      <c r="K14" s="2"/>
      <c r="R14" s="2"/>
    </row>
  </sheetData>
  <sheetProtection formatCells="0" insertHyperlinks="0" autoFilter="0"/>
  <mergeCells count="15">
    <mergeCell ref="A1:S1"/>
    <mergeCell ref="A2:S2"/>
    <mergeCell ref="E3:K3"/>
    <mergeCell ref="L3:R3"/>
    <mergeCell ref="A7:D7"/>
    <mergeCell ref="A8:S8"/>
    <mergeCell ref="A3:A4"/>
    <mergeCell ref="A5:A6"/>
    <mergeCell ref="B3:B4"/>
    <mergeCell ref="B5:B6"/>
    <mergeCell ref="C3:C4"/>
    <mergeCell ref="C5:C6"/>
    <mergeCell ref="D3:D4"/>
    <mergeCell ref="S3:S4"/>
    <mergeCell ref="A9:S10"/>
  </mergeCells>
  <pageMargins left="0.75" right="0.75" top="1" bottom="1" header="0.5" footer="0.5"/>
  <pageSetup paperSize="9" scale="6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WWO_wpscloud_20240822224406-4472e44c58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药店（居民、职工纸质表）</vt:lpstr>
      <vt:lpstr>药店、诊所、社区服务站异地纸质上报表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鲁小丽</cp:lastModifiedBy>
  <dcterms:created xsi:type="dcterms:W3CDTF">2024-01-15T19:00:00Z</dcterms:created>
  <dcterms:modified xsi:type="dcterms:W3CDTF">2026-05-07T03:59:46Z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B727F7E099AB40D5A7D44C6D73238DD6_13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